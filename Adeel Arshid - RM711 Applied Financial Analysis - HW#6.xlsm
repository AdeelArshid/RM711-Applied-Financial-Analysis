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eelarshid/Documents/RM 711 Appplied Financial Analysis/Module 6/"/>
    </mc:Choice>
  </mc:AlternateContent>
  <xr:revisionPtr revIDLastSave="0" documentId="13_ncr:1_{5C5E260F-197A-B940-941B-FC4EF91CE0FE}" xr6:coauthVersionLast="47" xr6:coauthVersionMax="47" xr10:uidLastSave="{00000000-0000-0000-0000-000000000000}"/>
  <bookViews>
    <workbookView xWindow="680" yWindow="740" windowWidth="28040" windowHeight="16780" xr2:uid="{20E551DC-F360-F34C-846E-71C2DD7E1D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1" i="1" l="1"/>
  <c r="O30" i="1"/>
  <c r="O28" i="1"/>
  <c r="O27" i="1"/>
  <c r="O26" i="1"/>
  <c r="O25" i="1"/>
  <c r="O24" i="1"/>
  <c r="O23" i="1"/>
  <c r="O22" i="1"/>
  <c r="O21" i="1"/>
  <c r="O20" i="1"/>
  <c r="O19" i="1"/>
  <c r="O18" i="1"/>
  <c r="O17" i="1"/>
</calcChain>
</file>

<file path=xl/sharedStrings.xml><?xml version="1.0" encoding="utf-8"?>
<sst xmlns="http://schemas.openxmlformats.org/spreadsheetml/2006/main" count="24" uniqueCount="24">
  <si>
    <t>Adeel Arshid</t>
  </si>
  <si>
    <t>Payment 1</t>
  </si>
  <si>
    <t>Payment 2</t>
  </si>
  <si>
    <t>Payment 3</t>
  </si>
  <si>
    <t>Payment 4</t>
  </si>
  <si>
    <t>Payment 5</t>
  </si>
  <si>
    <t>Payment 6</t>
  </si>
  <si>
    <t>Payment 7</t>
  </si>
  <si>
    <t>Payment 8</t>
  </si>
  <si>
    <t>Payment 9</t>
  </si>
  <si>
    <t>Payment 10</t>
  </si>
  <si>
    <t>Payment 11</t>
  </si>
  <si>
    <t>Payment 12</t>
  </si>
  <si>
    <t xml:space="preserve">Loan </t>
  </si>
  <si>
    <t>rate</t>
  </si>
  <si>
    <t>frequency</t>
  </si>
  <si>
    <t>year</t>
  </si>
  <si>
    <t>Interest Payment</t>
  </si>
  <si>
    <t>Principle &amp; Interest</t>
  </si>
  <si>
    <t># of payment</t>
  </si>
  <si>
    <t xml:space="preserve">Interest paid </t>
  </si>
  <si>
    <t>Using IPMT Function</t>
  </si>
  <si>
    <t xml:space="preserve">Using VBA </t>
  </si>
  <si>
    <t>RM711 - Applied Financial Analysis - Homework#6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</si>
</sst>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5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9">
    <xf numFmtId="0" fontId="0" fillId="0" borderId="0" xfId="0"/>
    <xf numFmtId="0" fontId="4" fillId="2" borderId="0" xfId="0" applyFont="1" applyFill="1"/>
    <xf numFmtId="0" fontId="5" fillId="0" borderId="0" xfId="0" applyFont="1"/>
    <xf numFmtId="8" fontId="5" fillId="0" borderId="0" xfId="0" applyNumberFormat="1" applyFont="1"/>
    <xf numFmtId="44" fontId="5" fillId="0" borderId="0" xfId="1" applyFont="1"/>
    <xf numFmtId="9" fontId="5" fillId="0" borderId="0" xfId="0" applyNumberFormat="1" applyFont="1"/>
    <xf numFmtId="8" fontId="5" fillId="2" borderId="0" xfId="0" applyNumberFormat="1" applyFont="1" applyFill="1"/>
    <xf numFmtId="0" fontId="0" fillId="2" borderId="0" xfId="0" applyFill="1"/>
    <xf numFmtId="0" fontId="4" fillId="0" borderId="0" xfId="0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76200</xdr:rowOff>
        </xdr:from>
        <xdr:to>
          <xdr:col>8</xdr:col>
          <xdr:colOff>76200</xdr:colOff>
          <xdr:row>24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Payment Calculator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E5674-F3BE-7344-9C19-1BED0BEEEEF6}">
  <sheetPr codeName="Sheet1"/>
  <dimension ref="A2:O31"/>
  <sheetViews>
    <sheetView tabSelected="1" zoomScale="99" workbookViewId="0">
      <selection activeCell="A4" sqref="A4"/>
    </sheetView>
  </sheetViews>
  <sheetFormatPr baseColWidth="10" defaultRowHeight="16" x14ac:dyDescent="0.2"/>
  <cols>
    <col min="1" max="1" width="37" bestFit="1" customWidth="1"/>
    <col min="4" max="4" width="12.33203125" bestFit="1" customWidth="1"/>
    <col min="12" max="12" width="13.1640625" bestFit="1" customWidth="1"/>
    <col min="14" max="14" width="22.5" bestFit="1" customWidth="1"/>
    <col min="15" max="15" width="20.83203125" bestFit="1" customWidth="1"/>
  </cols>
  <sheetData>
    <row r="2" spans="1:15" ht="20" x14ac:dyDescent="0.25">
      <c r="A2" s="1" t="s">
        <v>0</v>
      </c>
    </row>
    <row r="3" spans="1:15" ht="20" x14ac:dyDescent="0.25">
      <c r="A3" s="1" t="s">
        <v>23</v>
      </c>
      <c r="B3" s="7"/>
      <c r="C3" s="7"/>
    </row>
    <row r="4" spans="1:15" ht="20" x14ac:dyDescent="0.25">
      <c r="A4" s="8"/>
    </row>
    <row r="10" spans="1:15" ht="20" x14ac:dyDescent="0.25">
      <c r="D10" s="1" t="s">
        <v>22</v>
      </c>
    </row>
    <row r="11" spans="1:15" ht="20" x14ac:dyDescent="0.25">
      <c r="N11" s="1" t="s">
        <v>21</v>
      </c>
    </row>
    <row r="16" spans="1:15" ht="19" x14ac:dyDescent="0.25">
      <c r="K16" s="2"/>
      <c r="L16" s="2"/>
      <c r="M16" s="2"/>
      <c r="N16" s="2" t="s">
        <v>19</v>
      </c>
      <c r="O16" s="2" t="s">
        <v>20</v>
      </c>
    </row>
    <row r="17" spans="11:15" ht="19" x14ac:dyDescent="0.25">
      <c r="K17" s="2"/>
      <c r="L17" s="2"/>
      <c r="M17" s="2"/>
      <c r="N17" s="2" t="s">
        <v>1</v>
      </c>
      <c r="O17" s="3">
        <f>IPMT(8%/4,1,12,-30000)</f>
        <v>600</v>
      </c>
    </row>
    <row r="18" spans="11:15" ht="19" x14ac:dyDescent="0.25">
      <c r="K18" s="2" t="s">
        <v>13</v>
      </c>
      <c r="L18" s="4">
        <v>30000</v>
      </c>
      <c r="M18" s="2"/>
      <c r="N18" s="2" t="s">
        <v>2</v>
      </c>
      <c r="O18" s="3">
        <f>IPMT(L19/4,2,12,-L18)</f>
        <v>555.264242026229</v>
      </c>
    </row>
    <row r="19" spans="11:15" ht="19" x14ac:dyDescent="0.25">
      <c r="K19" s="2" t="s">
        <v>14</v>
      </c>
      <c r="L19" s="5">
        <v>0.08</v>
      </c>
      <c r="M19" s="2"/>
      <c r="N19" s="2" t="s">
        <v>3</v>
      </c>
      <c r="O19" s="3">
        <f>IPMT(L19/4,3,12,-L18)</f>
        <v>509.63376889298269</v>
      </c>
    </row>
    <row r="20" spans="11:15" ht="19" x14ac:dyDescent="0.25">
      <c r="K20" s="2" t="s">
        <v>15</v>
      </c>
      <c r="L20" s="2">
        <v>4</v>
      </c>
      <c r="M20" s="2"/>
      <c r="N20" s="2" t="s">
        <v>4</v>
      </c>
      <c r="O20" s="3">
        <f>IPMT(L19/4,4,12,-L18)</f>
        <v>463.09068629707144</v>
      </c>
    </row>
    <row r="21" spans="11:15" ht="19" x14ac:dyDescent="0.25">
      <c r="K21" s="2" t="s">
        <v>16</v>
      </c>
      <c r="L21" s="2">
        <v>3</v>
      </c>
      <c r="M21" s="2"/>
      <c r="N21" s="2" t="s">
        <v>5</v>
      </c>
      <c r="O21" s="3">
        <f>IPMT(L19/4,5,12,-L18)</f>
        <v>415.61674204924196</v>
      </c>
    </row>
    <row r="22" spans="11:15" ht="19" x14ac:dyDescent="0.25">
      <c r="K22" s="2"/>
      <c r="L22" s="2"/>
      <c r="M22" s="2"/>
      <c r="N22" s="2" t="s">
        <v>6</v>
      </c>
      <c r="O22" s="3">
        <f>IPMT(L19/4,6,12,-L18)</f>
        <v>367.19331891645601</v>
      </c>
    </row>
    <row r="23" spans="11:15" ht="19" x14ac:dyDescent="0.25">
      <c r="K23" s="2"/>
      <c r="L23" s="2"/>
      <c r="M23" s="2"/>
      <c r="N23" s="2" t="s">
        <v>7</v>
      </c>
      <c r="O23" s="3">
        <f>IPMT(8%/4,7,12,-L18)</f>
        <v>317.80142732101422</v>
      </c>
    </row>
    <row r="24" spans="11:15" ht="19" x14ac:dyDescent="0.25">
      <c r="K24" s="2"/>
      <c r="L24" s="2"/>
      <c r="M24" s="2"/>
      <c r="N24" s="2" t="s">
        <v>8</v>
      </c>
      <c r="O24" s="3">
        <f>IPMT(L19/4,8,12,-L18)</f>
        <v>267.42169789366358</v>
      </c>
    </row>
    <row r="25" spans="11:15" ht="19" x14ac:dyDescent="0.25">
      <c r="K25" s="2"/>
      <c r="L25" s="2"/>
      <c r="M25" s="2"/>
      <c r="N25" s="2" t="s">
        <v>9</v>
      </c>
      <c r="O25" s="3">
        <f>IPMT(L19/4,9,12,-L18)</f>
        <v>216.03437387776603</v>
      </c>
    </row>
    <row r="26" spans="11:15" ht="19" x14ac:dyDescent="0.25">
      <c r="K26" s="2"/>
      <c r="L26" s="2"/>
      <c r="M26" s="2"/>
      <c r="N26" s="2" t="s">
        <v>10</v>
      </c>
      <c r="O26" s="3">
        <f>IPMT(L19/4,10,12,-L18)</f>
        <v>163.61930338155048</v>
      </c>
    </row>
    <row r="27" spans="11:15" ht="19" x14ac:dyDescent="0.25">
      <c r="K27" s="2"/>
      <c r="L27" s="2"/>
      <c r="M27" s="2"/>
      <c r="N27" s="2" t="s">
        <v>11</v>
      </c>
      <c r="O27" s="3">
        <f>IPMT(L19/4,11,12,-L18)</f>
        <v>110.1559314754106</v>
      </c>
    </row>
    <row r="28" spans="11:15" ht="19" x14ac:dyDescent="0.25">
      <c r="K28" s="2"/>
      <c r="L28" s="2"/>
      <c r="M28" s="2"/>
      <c r="N28" s="2" t="s">
        <v>12</v>
      </c>
      <c r="O28" s="3">
        <f>IPMT(L19/4,12,12,-L18)</f>
        <v>55.62329213114792</v>
      </c>
    </row>
    <row r="29" spans="11:15" ht="19" x14ac:dyDescent="0.25">
      <c r="K29" s="2"/>
      <c r="L29" s="2"/>
      <c r="M29" s="2"/>
      <c r="N29" s="2"/>
      <c r="O29" s="2"/>
    </row>
    <row r="30" spans="11:15" ht="19" x14ac:dyDescent="0.25">
      <c r="K30" s="2"/>
      <c r="L30" s="2"/>
      <c r="M30" s="2"/>
      <c r="N30" s="2" t="s">
        <v>17</v>
      </c>
      <c r="O30" s="3">
        <f>SUM(O17:O28)</f>
        <v>4041.4547842625338</v>
      </c>
    </row>
    <row r="31" spans="11:15" ht="19" x14ac:dyDescent="0.25">
      <c r="K31" s="2"/>
      <c r="L31" s="2"/>
      <c r="M31" s="2"/>
      <c r="N31" s="2" t="s">
        <v>18</v>
      </c>
      <c r="O31" s="6">
        <f>SUM(O30,L18)</f>
        <v>34041.454784262532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anCalculator">
                <anchor moveWithCells="1" sizeWithCells="1">
                  <from>
                    <xdr:col>1</xdr:col>
                    <xdr:colOff>0</xdr:colOff>
                    <xdr:row>13</xdr:row>
                    <xdr:rowOff>76200</xdr:rowOff>
                  </from>
                  <to>
                    <xdr:col>8</xdr:col>
                    <xdr:colOff>76200</xdr:colOff>
                    <xdr:row>24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Adeel Arshid</cp:lastModifiedBy>
  <dcterms:created xsi:type="dcterms:W3CDTF">2023-08-02T02:06:44Z</dcterms:created>
  <dcterms:modified xsi:type="dcterms:W3CDTF">2023-12-04T02:20:15Z</dcterms:modified>
</cp:coreProperties>
</file>